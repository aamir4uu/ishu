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lculato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<sst xmlns="http://schemas.openxmlformats.org/spreadsheetml/2006/main" count="110" uniqueCount="76">
  <si>
    <t xml:space="preserve">Meesho fee assumptions — Goyal Lights</t>
  </si>
  <si>
    <t xml:space="preserve">Blue = input you can change. Every number here is an estimate from public 2026 fee guides; replace with the exact figures shown in your Supplier Panel → Payments → Fee Structure once your account is live.</t>
  </si>
  <si>
    <t xml:space="preserve">Shipping fee by packed weight (₹, forward, national average)</t>
  </si>
  <si>
    <t xml:space="preserve">Slab 1: up to 500 g</t>
  </si>
  <si>
    <t xml:space="preserve">Public guides quote ₹35–65 for ≤500 g incl. zone mix; Meesho sets it per pincode, you cannot edit it</t>
  </si>
  <si>
    <t xml:space="preserve">Slab 2: 501–1000 g</t>
  </si>
  <si>
    <t xml:space="preserve">Estimate</t>
  </si>
  <si>
    <t xml:space="preserve">Slab 3: 1001–2000 g</t>
  </si>
  <si>
    <t xml:space="preserve">Slab 4: 2001–5000 g</t>
  </si>
  <si>
    <t xml:space="preserve">Estimate; chandeliers land here</t>
  </si>
  <si>
    <t xml:space="preserve">GST on Meesho fees</t>
  </si>
  <si>
    <t xml:space="preserve">18% on shipping/return fees; you get input credit if GST-registered</t>
  </si>
  <si>
    <t xml:space="preserve">Return (customer) + RTO rate assumed — decor lights</t>
  </si>
  <si>
    <t xml:space="preserve">Meesho lighting sellers report 8–15% under wrong/defective-only; higher under all-returns</t>
  </si>
  <si>
    <t xml:space="preserve">Return (customer) + RTO rate assumed — bulbs/technical</t>
  </si>
  <si>
    <t xml:space="preserve">Lower change-of-mind</t>
  </si>
  <si>
    <t xml:space="preserve">Reverse shipping charge per returned parcel (₹)</t>
  </si>
  <si>
    <t xml:space="preserve">Public guides: ₹40–165 depending on weight; ₹70 for sub-1 kg</t>
  </si>
  <si>
    <t xml:space="preserve">Share of returned items that are resaleable</t>
  </si>
  <si>
    <t xml:space="preserve">Rest = loss (broken bulb, cut string)</t>
  </si>
  <si>
    <t xml:space="preserve">Packaging cost per order (₹, box + wrap + label)</t>
  </si>
  <si>
    <t xml:space="preserve">S box; use 18 for M, 40 for L</t>
  </si>
  <si>
    <t xml:space="preserve">Meesho collection / platform fee % (if shown in your panel)</t>
  </si>
  <si>
    <t xml:space="preserve">Meesho advertises 0% commission; some 2026 guides report a small collection fee — enter it if your panel shows one</t>
  </si>
  <si>
    <t xml:space="preserve">Target net margin on your cost (after all fees)</t>
  </si>
  <si>
    <t xml:space="preserve">30% is the floor for a Bhagirath Palace shop selling online; below 20% the returns eat it</t>
  </si>
  <si>
    <t xml:space="preserve">SKU</t>
  </si>
  <si>
    <t xml:space="preserve">Type (Decor/Tech)</t>
  </si>
  <si>
    <t xml:space="preserve">Your cost ₹</t>
  </si>
  <si>
    <t xml:space="preserve">Packed weight g</t>
  </si>
  <si>
    <t xml:space="preserve">Box (S/M/L)</t>
  </si>
  <si>
    <t xml:space="preserve">Shipping fee ₹</t>
  </si>
  <si>
    <t xml:space="preserve">GST on fee ₹</t>
  </si>
  <si>
    <t xml:space="preserve">Packaging ₹</t>
  </si>
  <si>
    <t xml:space="preserve">Return rate</t>
  </si>
  <si>
    <t xml:space="preserve">Expected return cost ₹/order</t>
  </si>
  <si>
    <t xml:space="preserve">Platform fee ₹</t>
  </si>
  <si>
    <t xml:space="preserve">Total cost per order ₹</t>
  </si>
  <si>
    <t xml:space="preserve">Target margin ₹</t>
  </si>
  <si>
    <t xml:space="preserve">Recommended Wrong/Defective price ₹</t>
  </si>
  <si>
    <t xml:space="preserve">All-returns price ₹ (+12%)</t>
  </si>
  <si>
    <t xml:space="preserve">Suggested MRP ₹ (1.8x)</t>
  </si>
  <si>
    <t xml:space="preserve">Net payout at recommended price ₹</t>
  </si>
  <si>
    <t xml:space="preserve">Net margin % on cost</t>
  </si>
  <si>
    <t xml:space="preserve">Break-even price ₹</t>
  </si>
  <si>
    <t xml:space="preserve">GL-SL-10M</t>
  </si>
  <si>
    <t xml:space="preserve">Decor</t>
  </si>
  <si>
    <t xml:space="preserve">S</t>
  </si>
  <si>
    <t xml:space="preserve">GL-SL-20M</t>
  </si>
  <si>
    <t xml:space="preserve">GL-SL-30M</t>
  </si>
  <si>
    <t xml:space="preserve">M</t>
  </si>
  <si>
    <t xml:space="preserve">GL-SL-30M-WW</t>
  </si>
  <si>
    <t xml:space="preserve">GL-SL-50M</t>
  </si>
  <si>
    <t xml:space="preserve">GL-PX-12M</t>
  </si>
  <si>
    <t xml:space="preserve">GL-CT-3X3</t>
  </si>
  <si>
    <t xml:space="preserve">GL-RP-10M</t>
  </si>
  <si>
    <t xml:space="preserve">GL-DY-3M</t>
  </si>
  <si>
    <t xml:space="preserve">GL-FY-3M-BAT</t>
  </si>
  <si>
    <t xml:space="preserve">GL-BLB-9W-4</t>
  </si>
  <si>
    <t xml:space="preserve">Tech</t>
  </si>
  <si>
    <t xml:space="preserve">GL-BLB-9W-10</t>
  </si>
  <si>
    <t xml:space="preserve">GL-BLB-12W-4</t>
  </si>
  <si>
    <t xml:space="preserve">GL-PNL-15W-R</t>
  </si>
  <si>
    <t xml:space="preserve">GL-BTN-20W</t>
  </si>
  <si>
    <t xml:space="preserve">GL-COB-7W</t>
  </si>
  <si>
    <t xml:space="preserve">GL-FLD-50W</t>
  </si>
  <si>
    <t xml:space="preserve">GL-CHD-3L</t>
  </si>
  <si>
    <t xml:space="preserve">L</t>
  </si>
  <si>
    <t xml:space="preserve">GL-STR-5M-WW</t>
  </si>
  <si>
    <t xml:space="preserve">How to read this sheet</t>
  </si>
  <si>
    <t xml:space="preserve">• Yellow = fill in: your buying cost, the weight of the PACKED box (weigh it), and box size. Costs shown are placeholder guesses from Bhagirath Palace wholesale rates in Aug 2026 — replace every one.</t>
  </si>
  <si>
    <t xml:space="preserve">• Recommended Wrong/Defective price is the price you enter in the catalog under 'Only wrong/defective returns'. It covers shipping, GST on fees, packaging, expected return losses and your target margin, rounded to end in 9.</t>
  </si>
  <si>
    <t xml:space="preserve">• All-returns price is what to enter if you choose 'All returns' instead — 12% higher to cover the extra returns. Do not enter both; Meesho shows one price per return option.</t>
  </si>
  <si>
    <t xml:space="preserve">• MRP must be printed on the carton. If the carton MRP is lower than the suggested MRP, use the carton's. Meesho price can never exceed MRP.</t>
  </si>
  <si>
    <t xml:space="preserve">• Break-even price is the price at which you make zero after all fees. Never run a Meesho Ad or a sale below it.</t>
  </si>
  <si>
    <t xml:space="preserve">• Shipping fee here is a national average estimate. The real fee is per order (pincode + weight) and appears in the order payout. After 20 orders, average your real fees and update Assumptions B5:B8.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</si>
</sst>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C4" s="4"/>
    </row>
    <row r="5" customFormat="false" ht="15" hidden="false" customHeight="false" outlineLevel="0" collapsed="false">
      <c r="A5" s="5" t="s">
        <v>3</v>
      </c>
      <c r="B5" s="6" t="n">
        <v>55</v>
      </c>
      <c r="C5" s="4" t="s">
        <v>4</v>
      </c>
    </row>
    <row r="6" customFormat="false" ht="15" hidden="false" customHeight="false" outlineLevel="0" collapsed="false">
      <c r="A6" s="5" t="s">
        <v>5</v>
      </c>
      <c r="B6" s="6" t="n">
        <v>80</v>
      </c>
      <c r="C6" s="4" t="s">
        <v>6</v>
      </c>
    </row>
    <row r="7" customFormat="false" ht="15" hidden="false" customHeight="false" outlineLevel="0" collapsed="false">
      <c r="A7" s="5" t="s">
        <v>7</v>
      </c>
      <c r="B7" s="6" t="n">
        <v>120</v>
      </c>
      <c r="C7" s="4" t="s">
        <v>6</v>
      </c>
    </row>
    <row r="8" customFormat="false" ht="15" hidden="false" customHeight="false" outlineLevel="0" collapsed="false">
      <c r="A8" s="5" t="s">
        <v>8</v>
      </c>
      <c r="B8" s="6" t="n">
        <v>220</v>
      </c>
      <c r="C8" s="4" t="s">
        <v>9</v>
      </c>
    </row>
    <row r="9" customFormat="false" ht="15" hidden="false" customHeight="false" outlineLevel="0" collapsed="false">
      <c r="A9" s="5" t="s">
        <v>10</v>
      </c>
      <c r="B9" s="7" t="n">
        <v>0.18</v>
      </c>
      <c r="C9" s="4" t="s">
        <v>11</v>
      </c>
    </row>
    <row r="10" customFormat="false" ht="15" hidden="false" customHeight="false" outlineLevel="0" collapsed="false">
      <c r="A10" s="5" t="s">
        <v>12</v>
      </c>
      <c r="B10" s="7" t="n">
        <v>0.1</v>
      </c>
      <c r="C10" s="4" t="s">
        <v>13</v>
      </c>
    </row>
    <row r="11" customFormat="false" ht="15" hidden="false" customHeight="false" outlineLevel="0" collapsed="false">
      <c r="A11" s="5" t="s">
        <v>14</v>
      </c>
      <c r="B11" s="7" t="n">
        <v>0.06</v>
      </c>
      <c r="C11" s="4" t="s">
        <v>15</v>
      </c>
    </row>
    <row r="12" customFormat="false" ht="15" hidden="false" customHeight="false" outlineLevel="0" collapsed="false">
      <c r="A12" s="5" t="s">
        <v>16</v>
      </c>
      <c r="B12" s="6" t="n">
        <v>70</v>
      </c>
      <c r="C12" s="4" t="s">
        <v>17</v>
      </c>
    </row>
    <row r="13" customFormat="false" ht="15" hidden="false" customHeight="false" outlineLevel="0" collapsed="false">
      <c r="A13" s="5" t="s">
        <v>18</v>
      </c>
      <c r="B13" s="7" t="n">
        <v>0.6</v>
      </c>
      <c r="C13" s="4" t="s">
        <v>19</v>
      </c>
    </row>
    <row r="14" customFormat="false" ht="15" hidden="false" customHeight="false" outlineLevel="0" collapsed="false">
      <c r="A14" s="5" t="s">
        <v>20</v>
      </c>
      <c r="B14" s="6" t="n">
        <v>12</v>
      </c>
      <c r="C14" s="4" t="s">
        <v>21</v>
      </c>
    </row>
    <row r="15" customFormat="false" ht="26.85" hidden="false" customHeight="false" outlineLevel="0" collapsed="false">
      <c r="A15" s="5" t="s">
        <v>22</v>
      </c>
      <c r="B15" s="7" t="n">
        <v>0</v>
      </c>
      <c r="C15" s="4" t="s">
        <v>23</v>
      </c>
    </row>
    <row r="16" customFormat="false" ht="15" hidden="false" customHeight="false" outlineLevel="0" collapsed="false">
      <c r="A16" s="5" t="s">
        <v>24</v>
      </c>
      <c r="B16" s="7" t="n">
        <v>0.3</v>
      </c>
      <c r="C16" s="4" t="s">
        <v>25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9"/>
    <col collapsed="false" customWidth="true" hidden="false" outlineLevel="0" max="19" min="19" style="0" width="10"/>
  </cols>
  <sheetData>
    <row r="1" customFormat="false" ht="48" hidden="false" customHeight="true" outlineLevel="0" collapsed="false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41</v>
      </c>
      <c r="Q1" s="8" t="s">
        <v>42</v>
      </c>
      <c r="R1" s="8" t="s">
        <v>43</v>
      </c>
      <c r="S1" s="8" t="s">
        <v>44</v>
      </c>
    </row>
    <row r="2" customFormat="false" ht="15" hidden="false" customHeight="false" outlineLevel="0" collapsed="false">
      <c r="A2" s="0" t="s">
        <v>45</v>
      </c>
      <c r="B2" s="0" t="s">
        <v>46</v>
      </c>
      <c r="C2" s="6" t="n">
        <v>55</v>
      </c>
      <c r="D2" s="6" t="n">
        <v>120</v>
      </c>
      <c r="E2" s="6" t="s">
        <v>47</v>
      </c>
      <c r="F2" s="9" t="n">
        <f aca="false">IF(D2&lt;=500,Assumptions!$B$5,IF(D2&lt;=1000,Assumptions!$B$6,IF(D2&lt;=2000,Assumptions!$B$7,Assumptions!$B$8)))</f>
        <v>55</v>
      </c>
      <c r="G2" s="9" t="n">
        <f aca="false">F2*Assumptions!$B$9</f>
        <v>9.9</v>
      </c>
      <c r="H2" s="9" t="n">
        <f aca="false">IF(E2="S",Assumptions!$B$14,IF(E2="M",Assumptions!$B$14*1.5,Assumptions!$B$14*3.3))</f>
        <v>12</v>
      </c>
      <c r="I2" s="10" t="n">
        <f aca="false">IF(B2="Decor",Assumptions!$B$10,Assumptions!$B$11)</f>
        <v>0.1</v>
      </c>
      <c r="J2" s="9" t="n">
        <f aca="false">I2*(Assumptions!$B$12*(1+Assumptions!$B$9)+F2*(1+Assumptions!$B$9)+(1-Assumptions!$B$13)*C2)</f>
        <v>16.95</v>
      </c>
      <c r="K2" s="9" t="n">
        <f aca="false">N2*Assumptions!$B$15</f>
        <v>0</v>
      </c>
      <c r="L2" s="9" t="n">
        <f aca="false">C2+F2+G2+H2+J2+K2</f>
        <v>148.85</v>
      </c>
      <c r="M2" s="9" t="n">
        <f aca="false">C2*Assumptions!$B$16</f>
        <v>16.5</v>
      </c>
      <c r="N2" s="9" t="n">
        <f aca="false">CEILING((C2+F2+G2+H2+J2+M2)/(1-Assumptions!$B$15),10)-1</f>
        <v>169</v>
      </c>
      <c r="O2" s="9" t="n">
        <f aca="false">CEILING(N2*1.12,10)-1</f>
        <v>189</v>
      </c>
      <c r="P2" s="9" t="n">
        <f aca="false">CEILING(N2*1.8,10)-1</f>
        <v>309</v>
      </c>
      <c r="Q2" s="9" t="n">
        <f aca="false">N2-F2-G2-H2-J2-K2</f>
        <v>75.15</v>
      </c>
      <c r="R2" s="10" t="n">
        <f aca="false">IF(C2=0,0,(Q2-C2)/C2)</f>
        <v>0.366363636363636</v>
      </c>
      <c r="S2" s="9" t="n">
        <f aca="false">CEILING((C2+F2+G2+H2+J2)/(1-Assumptions!$B$15),1)</f>
        <v>149</v>
      </c>
    </row>
    <row r="3" customFormat="false" ht="15" hidden="false" customHeight="false" outlineLevel="0" collapsed="false">
      <c r="A3" s="0" t="s">
        <v>48</v>
      </c>
      <c r="B3" s="0" t="s">
        <v>46</v>
      </c>
      <c r="C3" s="6" t="n">
        <v>85</v>
      </c>
      <c r="D3" s="6" t="n">
        <v>200</v>
      </c>
      <c r="E3" s="6" t="s">
        <v>47</v>
      </c>
      <c r="F3" s="9" t="n">
        <f aca="false">IF(D3&lt;=500,Assumptions!$B$5,IF(D3&lt;=1000,Assumptions!$B$6,IF(D3&lt;=2000,Assumptions!$B$7,Assumptions!$B$8)))</f>
        <v>55</v>
      </c>
      <c r="G3" s="9" t="n">
        <f aca="false">F3*Assumptions!$B$9</f>
        <v>9.9</v>
      </c>
      <c r="H3" s="9" t="n">
        <f aca="false">IF(E3="S",Assumptions!$B$14,IF(E3="M",Assumptions!$B$14*1.5,Assumptions!$B$14*3.3))</f>
        <v>12</v>
      </c>
      <c r="I3" s="10" t="n">
        <f aca="false">IF(B3="Decor",Assumptions!$B$10,Assumptions!$B$11)</f>
        <v>0.1</v>
      </c>
      <c r="J3" s="9" t="n">
        <f aca="false">I3*(Assumptions!$B$12*(1+Assumptions!$B$9)+F3*(1+Assumptions!$B$9)+(1-Assumptions!$B$13)*C3)</f>
        <v>18.15</v>
      </c>
      <c r="K3" s="9" t="n">
        <f aca="false">N3*Assumptions!$B$15</f>
        <v>0</v>
      </c>
      <c r="L3" s="9" t="n">
        <f aca="false">C3+F3+G3+H3+J3+K3</f>
        <v>180.05</v>
      </c>
      <c r="M3" s="9" t="n">
        <f aca="false">C3*Assumptions!$B$16</f>
        <v>25.5</v>
      </c>
      <c r="N3" s="9" t="n">
        <f aca="false">CEILING((C3+F3+G3+H3+J3+M3)/(1-Assumptions!$B$15),10)-1</f>
        <v>209</v>
      </c>
      <c r="O3" s="9" t="n">
        <f aca="false">CEILING(N3*1.12,10)-1</f>
        <v>239</v>
      </c>
      <c r="P3" s="9" t="n">
        <f aca="false">CEILING(N3*1.8,10)-1</f>
        <v>379</v>
      </c>
      <c r="Q3" s="9" t="n">
        <f aca="false">N3-F3-G3-H3-J3-K3</f>
        <v>113.95</v>
      </c>
      <c r="R3" s="10" t="n">
        <f aca="false">IF(C3=0,0,(Q3-C3)/C3)</f>
        <v>0.340588235294118</v>
      </c>
      <c r="S3" s="9" t="n">
        <f aca="false">CEILING((C3+F3+G3+H3+J3)/(1-Assumptions!$B$15),1)</f>
        <v>181</v>
      </c>
    </row>
    <row r="4" customFormat="false" ht="15" hidden="false" customHeight="false" outlineLevel="0" collapsed="false">
      <c r="A4" s="0" t="s">
        <v>49</v>
      </c>
      <c r="B4" s="0" t="s">
        <v>46</v>
      </c>
      <c r="C4" s="6" t="n">
        <v>110</v>
      </c>
      <c r="D4" s="6" t="n">
        <v>300</v>
      </c>
      <c r="E4" s="6" t="s">
        <v>50</v>
      </c>
      <c r="F4" s="9" t="n">
        <f aca="false">IF(D4&lt;=500,Assumptions!$B$5,IF(D4&lt;=1000,Assumptions!$B$6,IF(D4&lt;=2000,Assumptions!$B$7,Assumptions!$B$8)))</f>
        <v>55</v>
      </c>
      <c r="G4" s="9" t="n">
        <f aca="false">F4*Assumptions!$B$9</f>
        <v>9.9</v>
      </c>
      <c r="H4" s="9" t="n">
        <f aca="false">IF(E4="S",Assumptions!$B$14,IF(E4="M",Assumptions!$B$14*1.5,Assumptions!$B$14*3.3))</f>
        <v>18</v>
      </c>
      <c r="I4" s="10" t="n">
        <f aca="false">IF(B4="Decor",Assumptions!$B$10,Assumptions!$B$11)</f>
        <v>0.1</v>
      </c>
      <c r="J4" s="9" t="n">
        <f aca="false">I4*(Assumptions!$B$12*(1+Assumptions!$B$9)+F4*(1+Assumptions!$B$9)+(1-Assumptions!$B$13)*C4)</f>
        <v>19.15</v>
      </c>
      <c r="K4" s="9" t="n">
        <f aca="false">N4*Assumptions!$B$15</f>
        <v>0</v>
      </c>
      <c r="L4" s="9" t="n">
        <f aca="false">C4+F4+G4+H4+J4+K4</f>
        <v>212.05</v>
      </c>
      <c r="M4" s="9" t="n">
        <f aca="false">C4*Assumptions!$B$16</f>
        <v>33</v>
      </c>
      <c r="N4" s="9" t="n">
        <f aca="false">CEILING((C4+F4+G4+H4+J4+M4)/(1-Assumptions!$B$15),10)-1</f>
        <v>249</v>
      </c>
      <c r="O4" s="9" t="n">
        <f aca="false">CEILING(N4*1.12,10)-1</f>
        <v>279</v>
      </c>
      <c r="P4" s="9" t="n">
        <f aca="false">CEILING(N4*1.8,10)-1</f>
        <v>449</v>
      </c>
      <c r="Q4" s="9" t="n">
        <f aca="false">N4-F4-G4-H4-J4-K4</f>
        <v>146.95</v>
      </c>
      <c r="R4" s="10" t="n">
        <f aca="false">IF(C4=0,0,(Q4-C4)/C4)</f>
        <v>0.335909090909091</v>
      </c>
      <c r="S4" s="9" t="n">
        <f aca="false">CEILING((C4+F4+G4+H4+J4)/(1-Assumptions!$B$15),1)</f>
        <v>213</v>
      </c>
    </row>
    <row r="5" customFormat="false" ht="15" hidden="false" customHeight="false" outlineLevel="0" collapsed="false">
      <c r="A5" s="0" t="s">
        <v>51</v>
      </c>
      <c r="B5" s="0" t="s">
        <v>46</v>
      </c>
      <c r="C5" s="6" t="n">
        <v>110</v>
      </c>
      <c r="D5" s="6" t="n">
        <v>300</v>
      </c>
      <c r="E5" s="6" t="s">
        <v>50</v>
      </c>
      <c r="F5" s="9" t="n">
        <f aca="false">IF(D5&lt;=500,Assumptions!$B$5,IF(D5&lt;=1000,Assumptions!$B$6,IF(D5&lt;=2000,Assumptions!$B$7,Assumptions!$B$8)))</f>
        <v>55</v>
      </c>
      <c r="G5" s="9" t="n">
        <f aca="false">F5*Assumptions!$B$9</f>
        <v>9.9</v>
      </c>
      <c r="H5" s="9" t="n">
        <f aca="false">IF(E5="S",Assumptions!$B$14,IF(E5="M",Assumptions!$B$14*1.5,Assumptions!$B$14*3.3))</f>
        <v>18</v>
      </c>
      <c r="I5" s="10" t="n">
        <f aca="false">IF(B5="Decor",Assumptions!$B$10,Assumptions!$B$11)</f>
        <v>0.1</v>
      </c>
      <c r="J5" s="9" t="n">
        <f aca="false">I5*(Assumptions!$B$12*(1+Assumptions!$B$9)+F5*(1+Assumptions!$B$9)+(1-Assumptions!$B$13)*C5)</f>
        <v>19.15</v>
      </c>
      <c r="K5" s="9" t="n">
        <f aca="false">N5*Assumptions!$B$15</f>
        <v>0</v>
      </c>
      <c r="L5" s="9" t="n">
        <f aca="false">C5+F5+G5+H5+J5+K5</f>
        <v>212.05</v>
      </c>
      <c r="M5" s="9" t="n">
        <f aca="false">C5*Assumptions!$B$16</f>
        <v>33</v>
      </c>
      <c r="N5" s="9" t="n">
        <f aca="false">CEILING((C5+F5+G5+H5+J5+M5)/(1-Assumptions!$B$15),10)-1</f>
        <v>249</v>
      </c>
      <c r="O5" s="9" t="n">
        <f aca="false">CEILING(N5*1.12,10)-1</f>
        <v>279</v>
      </c>
      <c r="P5" s="9" t="n">
        <f aca="false">CEILING(N5*1.8,10)-1</f>
        <v>449</v>
      </c>
      <c r="Q5" s="9" t="n">
        <f aca="false">N5-F5-G5-H5-J5-K5</f>
        <v>146.95</v>
      </c>
      <c r="R5" s="10" t="n">
        <f aca="false">IF(C5=0,0,(Q5-C5)/C5)</f>
        <v>0.335909090909091</v>
      </c>
      <c r="S5" s="9" t="n">
        <f aca="false">CEILING((C5+F5+G5+H5+J5)/(1-Assumptions!$B$15),1)</f>
        <v>213</v>
      </c>
    </row>
    <row r="6" customFormat="false" ht="15" hidden="false" customHeight="false" outlineLevel="0" collapsed="false">
      <c r="A6" s="0" t="s">
        <v>52</v>
      </c>
      <c r="B6" s="0" t="s">
        <v>46</v>
      </c>
      <c r="C6" s="6" t="n">
        <v>170</v>
      </c>
      <c r="D6" s="6" t="n">
        <v>480</v>
      </c>
      <c r="E6" s="6" t="s">
        <v>50</v>
      </c>
      <c r="F6" s="9" t="n">
        <f aca="false">IF(D6&lt;=500,Assumptions!$B$5,IF(D6&lt;=1000,Assumptions!$B$6,IF(D6&lt;=2000,Assumptions!$B$7,Assumptions!$B$8)))</f>
        <v>55</v>
      </c>
      <c r="G6" s="9" t="n">
        <f aca="false">F6*Assumptions!$B$9</f>
        <v>9.9</v>
      </c>
      <c r="H6" s="9" t="n">
        <f aca="false">IF(E6="S",Assumptions!$B$14,IF(E6="M",Assumptions!$B$14*1.5,Assumptions!$B$14*3.3))</f>
        <v>18</v>
      </c>
      <c r="I6" s="10" t="n">
        <f aca="false">IF(B6="Decor",Assumptions!$B$10,Assumptions!$B$11)</f>
        <v>0.1</v>
      </c>
      <c r="J6" s="9" t="n">
        <f aca="false">I6*(Assumptions!$B$12*(1+Assumptions!$B$9)+F6*(1+Assumptions!$B$9)+(1-Assumptions!$B$13)*C6)</f>
        <v>21.55</v>
      </c>
      <c r="K6" s="9" t="n">
        <f aca="false">N6*Assumptions!$B$15</f>
        <v>0</v>
      </c>
      <c r="L6" s="9" t="n">
        <f aca="false">C6+F6+G6+H6+J6+K6</f>
        <v>274.45</v>
      </c>
      <c r="M6" s="9" t="n">
        <f aca="false">C6*Assumptions!$B$16</f>
        <v>51</v>
      </c>
      <c r="N6" s="9" t="n">
        <f aca="false">CEILING((C6+F6+G6+H6+J6+M6)/(1-Assumptions!$B$15),10)-1</f>
        <v>329</v>
      </c>
      <c r="O6" s="9" t="n">
        <f aca="false">CEILING(N6*1.12,10)-1</f>
        <v>369</v>
      </c>
      <c r="P6" s="9" t="n">
        <f aca="false">CEILING(N6*1.8,10)-1</f>
        <v>599</v>
      </c>
      <c r="Q6" s="9" t="n">
        <f aca="false">N6-F6-G6-H6-J6-K6</f>
        <v>224.55</v>
      </c>
      <c r="R6" s="10" t="n">
        <f aca="false">IF(C6=0,0,(Q6-C6)/C6)</f>
        <v>0.320882352941177</v>
      </c>
      <c r="S6" s="9" t="n">
        <f aca="false">CEILING((C6+F6+G6+H6+J6)/(1-Assumptions!$B$15),1)</f>
        <v>275</v>
      </c>
    </row>
    <row r="7" customFormat="false" ht="15" hidden="false" customHeight="false" outlineLevel="0" collapsed="false">
      <c r="A7" s="0" t="s">
        <v>53</v>
      </c>
      <c r="B7" s="0" t="s">
        <v>46</v>
      </c>
      <c r="C7" s="6" t="n">
        <v>180</v>
      </c>
      <c r="D7" s="6" t="n">
        <v>350</v>
      </c>
      <c r="E7" s="6" t="s">
        <v>50</v>
      </c>
      <c r="F7" s="9" t="n">
        <f aca="false">IF(D7&lt;=500,Assumptions!$B$5,IF(D7&lt;=1000,Assumptions!$B$6,IF(D7&lt;=2000,Assumptions!$B$7,Assumptions!$B$8)))</f>
        <v>55</v>
      </c>
      <c r="G7" s="9" t="n">
        <f aca="false">F7*Assumptions!$B$9</f>
        <v>9.9</v>
      </c>
      <c r="H7" s="9" t="n">
        <f aca="false">IF(E7="S",Assumptions!$B$14,IF(E7="M",Assumptions!$B$14*1.5,Assumptions!$B$14*3.3))</f>
        <v>18</v>
      </c>
      <c r="I7" s="10" t="n">
        <f aca="false">IF(B7="Decor",Assumptions!$B$10,Assumptions!$B$11)</f>
        <v>0.1</v>
      </c>
      <c r="J7" s="9" t="n">
        <f aca="false">I7*(Assumptions!$B$12*(1+Assumptions!$B$9)+F7*(1+Assumptions!$B$9)+(1-Assumptions!$B$13)*C7)</f>
        <v>21.95</v>
      </c>
      <c r="K7" s="9" t="n">
        <f aca="false">N7*Assumptions!$B$15</f>
        <v>0</v>
      </c>
      <c r="L7" s="9" t="n">
        <f aca="false">C7+F7+G7+H7+J7+K7</f>
        <v>284.85</v>
      </c>
      <c r="M7" s="9" t="n">
        <f aca="false">C7*Assumptions!$B$16</f>
        <v>54</v>
      </c>
      <c r="N7" s="9" t="n">
        <f aca="false">CEILING((C7+F7+G7+H7+J7+M7)/(1-Assumptions!$B$15),10)-1</f>
        <v>339</v>
      </c>
      <c r="O7" s="9" t="n">
        <f aca="false">CEILING(N7*1.12,10)-1</f>
        <v>379</v>
      </c>
      <c r="P7" s="9" t="n">
        <f aca="false">CEILING(N7*1.8,10)-1</f>
        <v>619</v>
      </c>
      <c r="Q7" s="9" t="n">
        <f aca="false">N7-F7-G7-H7-J7-K7</f>
        <v>234.15</v>
      </c>
      <c r="R7" s="10" t="n">
        <f aca="false">IF(C7=0,0,(Q7-C7)/C7)</f>
        <v>0.300833333333334</v>
      </c>
      <c r="S7" s="9" t="n">
        <f aca="false">CEILING((C7+F7+G7+H7+J7)/(1-Assumptions!$B$15),1)</f>
        <v>285</v>
      </c>
    </row>
    <row r="8" customFormat="false" ht="15" hidden="false" customHeight="false" outlineLevel="0" collapsed="false">
      <c r="A8" s="0" t="s">
        <v>54</v>
      </c>
      <c r="B8" s="0" t="s">
        <v>46</v>
      </c>
      <c r="C8" s="6" t="n">
        <v>160</v>
      </c>
      <c r="D8" s="6" t="n">
        <v>420</v>
      </c>
      <c r="E8" s="6" t="s">
        <v>50</v>
      </c>
      <c r="F8" s="9" t="n">
        <f aca="false">IF(D8&lt;=500,Assumptions!$B$5,IF(D8&lt;=1000,Assumptions!$B$6,IF(D8&lt;=2000,Assumptions!$B$7,Assumptions!$B$8)))</f>
        <v>55</v>
      </c>
      <c r="G8" s="9" t="n">
        <f aca="false">F8*Assumptions!$B$9</f>
        <v>9.9</v>
      </c>
      <c r="H8" s="9" t="n">
        <f aca="false">IF(E8="S",Assumptions!$B$14,IF(E8="M",Assumptions!$B$14*1.5,Assumptions!$B$14*3.3))</f>
        <v>18</v>
      </c>
      <c r="I8" s="10" t="n">
        <f aca="false">IF(B8="Decor",Assumptions!$B$10,Assumptions!$B$11)</f>
        <v>0.1</v>
      </c>
      <c r="J8" s="9" t="n">
        <f aca="false">I8*(Assumptions!$B$12*(1+Assumptions!$B$9)+F8*(1+Assumptions!$B$9)+(1-Assumptions!$B$13)*C8)</f>
        <v>21.15</v>
      </c>
      <c r="K8" s="9" t="n">
        <f aca="false">N8*Assumptions!$B$15</f>
        <v>0</v>
      </c>
      <c r="L8" s="9" t="n">
        <f aca="false">C8+F8+G8+H8+J8+K8</f>
        <v>264.05</v>
      </c>
      <c r="M8" s="9" t="n">
        <f aca="false">C8*Assumptions!$B$16</f>
        <v>48</v>
      </c>
      <c r="N8" s="9" t="n">
        <f aca="false">CEILING((C8+F8+G8+H8+J8+M8)/(1-Assumptions!$B$15),10)-1</f>
        <v>319</v>
      </c>
      <c r="O8" s="9" t="n">
        <f aca="false">CEILING(N8*1.12,10)-1</f>
        <v>359</v>
      </c>
      <c r="P8" s="9" t="n">
        <f aca="false">CEILING(N8*1.8,10)-1</f>
        <v>579</v>
      </c>
      <c r="Q8" s="9" t="n">
        <f aca="false">N8-F8-G8-H8-J8-K8</f>
        <v>214.95</v>
      </c>
      <c r="R8" s="10" t="n">
        <f aca="false">IF(C8=0,0,(Q8-C8)/C8)</f>
        <v>0.3434375</v>
      </c>
      <c r="S8" s="9" t="n">
        <f aca="false">CEILING((C8+F8+G8+H8+J8)/(1-Assumptions!$B$15),1)</f>
        <v>265</v>
      </c>
    </row>
    <row r="9" customFormat="false" ht="15" hidden="false" customHeight="false" outlineLevel="0" collapsed="false">
      <c r="A9" s="0" t="s">
        <v>55</v>
      </c>
      <c r="B9" s="0" t="s">
        <v>46</v>
      </c>
      <c r="C9" s="6" t="n">
        <v>220</v>
      </c>
      <c r="D9" s="6" t="n">
        <v>900</v>
      </c>
      <c r="E9" s="6" t="s">
        <v>50</v>
      </c>
      <c r="F9" s="9" t="n">
        <f aca="false">IF(D9&lt;=500,Assumptions!$B$5,IF(D9&lt;=1000,Assumptions!$B$6,IF(D9&lt;=2000,Assumptions!$B$7,Assumptions!$B$8)))</f>
        <v>80</v>
      </c>
      <c r="G9" s="9" t="n">
        <f aca="false">F9*Assumptions!$B$9</f>
        <v>14.4</v>
      </c>
      <c r="H9" s="9" t="n">
        <f aca="false">IF(E9="S",Assumptions!$B$14,IF(E9="M",Assumptions!$B$14*1.5,Assumptions!$B$14*3.3))</f>
        <v>18</v>
      </c>
      <c r="I9" s="10" t="n">
        <f aca="false">IF(B9="Decor",Assumptions!$B$10,Assumptions!$B$11)</f>
        <v>0.1</v>
      </c>
      <c r="J9" s="9" t="n">
        <f aca="false">I9*(Assumptions!$B$12*(1+Assumptions!$B$9)+F9*(1+Assumptions!$B$9)+(1-Assumptions!$B$13)*C9)</f>
        <v>26.5</v>
      </c>
      <c r="K9" s="9" t="n">
        <f aca="false">N9*Assumptions!$B$15</f>
        <v>0</v>
      </c>
      <c r="L9" s="9" t="n">
        <f aca="false">C9+F9+G9+H9+J9+K9</f>
        <v>358.9</v>
      </c>
      <c r="M9" s="9" t="n">
        <f aca="false">C9*Assumptions!$B$16</f>
        <v>66</v>
      </c>
      <c r="N9" s="9" t="n">
        <f aca="false">CEILING((C9+F9+G9+H9+J9+M9)/(1-Assumptions!$B$15),10)-1</f>
        <v>429</v>
      </c>
      <c r="O9" s="9" t="n">
        <f aca="false">CEILING(N9*1.12,10)-1</f>
        <v>489</v>
      </c>
      <c r="P9" s="9" t="n">
        <f aca="false">CEILING(N9*1.8,10)-1</f>
        <v>779</v>
      </c>
      <c r="Q9" s="9" t="n">
        <f aca="false">N9-F9-G9-H9-J9-K9</f>
        <v>290.1</v>
      </c>
      <c r="R9" s="10" t="n">
        <f aca="false">IF(C9=0,0,(Q9-C9)/C9)</f>
        <v>0.318636363636364</v>
      </c>
      <c r="S9" s="9" t="n">
        <f aca="false">CEILING((C9+F9+G9+H9+J9)/(1-Assumptions!$B$15),1)</f>
        <v>359</v>
      </c>
    </row>
    <row r="10" customFormat="false" ht="15" hidden="false" customHeight="false" outlineLevel="0" collapsed="false">
      <c r="A10" s="0" t="s">
        <v>56</v>
      </c>
      <c r="B10" s="0" t="s">
        <v>46</v>
      </c>
      <c r="C10" s="6" t="n">
        <v>70</v>
      </c>
      <c r="D10" s="6" t="n">
        <v>220</v>
      </c>
      <c r="E10" s="6" t="s">
        <v>47</v>
      </c>
      <c r="F10" s="9" t="n">
        <f aca="false">IF(D10&lt;=500,Assumptions!$B$5,IF(D10&lt;=1000,Assumptions!$B$6,IF(D10&lt;=2000,Assumptions!$B$7,Assumptions!$B$8)))</f>
        <v>55</v>
      </c>
      <c r="G10" s="9" t="n">
        <f aca="false">F10*Assumptions!$B$9</f>
        <v>9.9</v>
      </c>
      <c r="H10" s="9" t="n">
        <f aca="false">IF(E10="S",Assumptions!$B$14,IF(E10="M",Assumptions!$B$14*1.5,Assumptions!$B$14*3.3))</f>
        <v>12</v>
      </c>
      <c r="I10" s="10" t="n">
        <f aca="false">IF(B10="Decor",Assumptions!$B$10,Assumptions!$B$11)</f>
        <v>0.1</v>
      </c>
      <c r="J10" s="9" t="n">
        <f aca="false">I10*(Assumptions!$B$12*(1+Assumptions!$B$9)+F10*(1+Assumptions!$B$9)+(1-Assumptions!$B$13)*C10)</f>
        <v>17.55</v>
      </c>
      <c r="K10" s="9" t="n">
        <f aca="false">N10*Assumptions!$B$15</f>
        <v>0</v>
      </c>
      <c r="L10" s="9" t="n">
        <f aca="false">C10+F10+G10+H10+J10+K10</f>
        <v>164.45</v>
      </c>
      <c r="M10" s="9" t="n">
        <f aca="false">C10*Assumptions!$B$16</f>
        <v>21</v>
      </c>
      <c r="N10" s="9" t="n">
        <f aca="false">CEILING((C10+F10+G10+H10+J10+M10)/(1-Assumptions!$B$15),10)-1</f>
        <v>189</v>
      </c>
      <c r="O10" s="9" t="n">
        <f aca="false">CEILING(N10*1.12,10)-1</f>
        <v>219</v>
      </c>
      <c r="P10" s="9" t="n">
        <f aca="false">CEILING(N10*1.8,10)-1</f>
        <v>349</v>
      </c>
      <c r="Q10" s="9" t="n">
        <f aca="false">N10-F10-G10-H10-J10-K10</f>
        <v>94.55</v>
      </c>
      <c r="R10" s="10" t="n">
        <f aca="false">IF(C10=0,0,(Q10-C10)/C10)</f>
        <v>0.350714285714286</v>
      </c>
      <c r="S10" s="9" t="n">
        <f aca="false">CEILING((C10+F10+G10+H10+J10)/(1-Assumptions!$B$15),1)</f>
        <v>165</v>
      </c>
    </row>
    <row r="11" customFormat="false" ht="15" hidden="false" customHeight="false" outlineLevel="0" collapsed="false">
      <c r="A11" s="0" t="s">
        <v>57</v>
      </c>
      <c r="B11" s="0" t="s">
        <v>46</v>
      </c>
      <c r="C11" s="6" t="n">
        <v>45</v>
      </c>
      <c r="D11" s="6" t="n">
        <v>90</v>
      </c>
      <c r="E11" s="6" t="s">
        <v>47</v>
      </c>
      <c r="F11" s="9" t="n">
        <f aca="false">IF(D11&lt;=500,Assumptions!$B$5,IF(D11&lt;=1000,Assumptions!$B$6,IF(D11&lt;=2000,Assumptions!$B$7,Assumptions!$B$8)))</f>
        <v>55</v>
      </c>
      <c r="G11" s="9" t="n">
        <f aca="false">F11*Assumptions!$B$9</f>
        <v>9.9</v>
      </c>
      <c r="H11" s="9" t="n">
        <f aca="false">IF(E11="S",Assumptions!$B$14,IF(E11="M",Assumptions!$B$14*1.5,Assumptions!$B$14*3.3))</f>
        <v>12</v>
      </c>
      <c r="I11" s="10" t="n">
        <f aca="false">IF(B11="Decor",Assumptions!$B$10,Assumptions!$B$11)</f>
        <v>0.1</v>
      </c>
      <c r="J11" s="9" t="n">
        <f aca="false">I11*(Assumptions!$B$12*(1+Assumptions!$B$9)+F11*(1+Assumptions!$B$9)+(1-Assumptions!$B$13)*C11)</f>
        <v>16.55</v>
      </c>
      <c r="K11" s="9" t="n">
        <f aca="false">N11*Assumptions!$B$15</f>
        <v>0</v>
      </c>
      <c r="L11" s="9" t="n">
        <f aca="false">C11+F11+G11+H11+J11+K11</f>
        <v>138.45</v>
      </c>
      <c r="M11" s="9" t="n">
        <f aca="false">C11*Assumptions!$B$16</f>
        <v>13.5</v>
      </c>
      <c r="N11" s="9" t="n">
        <f aca="false">CEILING((C11+F11+G11+H11+J11+M11)/(1-Assumptions!$B$15),10)-1</f>
        <v>159</v>
      </c>
      <c r="O11" s="9" t="n">
        <f aca="false">CEILING(N11*1.12,10)-1</f>
        <v>179</v>
      </c>
      <c r="P11" s="9" t="n">
        <f aca="false">CEILING(N11*1.8,10)-1</f>
        <v>289</v>
      </c>
      <c r="Q11" s="9" t="n">
        <f aca="false">N11-F11-G11-H11-J11-K11</f>
        <v>65.55</v>
      </c>
      <c r="R11" s="10" t="n">
        <f aca="false">IF(C11=0,0,(Q11-C11)/C11)</f>
        <v>0.456666666666667</v>
      </c>
      <c r="S11" s="9" t="n">
        <f aca="false">CEILING((C11+F11+G11+H11+J11)/(1-Assumptions!$B$15),1)</f>
        <v>139</v>
      </c>
    </row>
    <row r="12" customFormat="false" ht="15" hidden="false" customHeight="false" outlineLevel="0" collapsed="false">
      <c r="A12" s="0" t="s">
        <v>58</v>
      </c>
      <c r="B12" s="0" t="s">
        <v>59</v>
      </c>
      <c r="C12" s="6" t="n">
        <v>120</v>
      </c>
      <c r="D12" s="6" t="n">
        <v>220</v>
      </c>
      <c r="E12" s="6" t="s">
        <v>47</v>
      </c>
      <c r="F12" s="9" t="n">
        <f aca="false">IF(D12&lt;=500,Assumptions!$B$5,IF(D12&lt;=1000,Assumptions!$B$6,IF(D12&lt;=2000,Assumptions!$B$7,Assumptions!$B$8)))</f>
        <v>55</v>
      </c>
      <c r="G12" s="9" t="n">
        <f aca="false">F12*Assumptions!$B$9</f>
        <v>9.9</v>
      </c>
      <c r="H12" s="9" t="n">
        <f aca="false">IF(E12="S",Assumptions!$B$14,IF(E12="M",Assumptions!$B$14*1.5,Assumptions!$B$14*3.3))</f>
        <v>12</v>
      </c>
      <c r="I12" s="10" t="n">
        <f aca="false">IF(B12="Decor",Assumptions!$B$10,Assumptions!$B$11)</f>
        <v>0.06</v>
      </c>
      <c r="J12" s="9" t="n">
        <f aca="false">I12*(Assumptions!$B$12*(1+Assumptions!$B$9)+F12*(1+Assumptions!$B$9)+(1-Assumptions!$B$13)*C12)</f>
        <v>11.73</v>
      </c>
      <c r="K12" s="9" t="n">
        <f aca="false">N12*Assumptions!$B$15</f>
        <v>0</v>
      </c>
      <c r="L12" s="9" t="n">
        <f aca="false">C12+F12+G12+H12+J12+K12</f>
        <v>208.63</v>
      </c>
      <c r="M12" s="9" t="n">
        <f aca="false">C12*Assumptions!$B$16</f>
        <v>36</v>
      </c>
      <c r="N12" s="9" t="n">
        <f aca="false">CEILING((C12+F12+G12+H12+J12+M12)/(1-Assumptions!$B$15),10)-1</f>
        <v>249</v>
      </c>
      <c r="O12" s="9" t="n">
        <f aca="false">CEILING(N12*1.12,10)-1</f>
        <v>279</v>
      </c>
      <c r="P12" s="9" t="n">
        <f aca="false">CEILING(N12*1.8,10)-1</f>
        <v>449</v>
      </c>
      <c r="Q12" s="9" t="n">
        <f aca="false">N12-F12-G12-H12-J12-K12</f>
        <v>160.37</v>
      </c>
      <c r="R12" s="10" t="n">
        <f aca="false">IF(C12=0,0,(Q12-C12)/C12)</f>
        <v>0.336416666666667</v>
      </c>
      <c r="S12" s="9" t="n">
        <f aca="false">CEILING((C12+F12+G12+H12+J12)/(1-Assumptions!$B$15),1)</f>
        <v>209</v>
      </c>
    </row>
    <row r="13" customFormat="false" ht="15" hidden="false" customHeight="false" outlineLevel="0" collapsed="false">
      <c r="A13" s="0" t="s">
        <v>60</v>
      </c>
      <c r="B13" s="0" t="s">
        <v>59</v>
      </c>
      <c r="C13" s="6" t="n">
        <v>290</v>
      </c>
      <c r="D13" s="6" t="n">
        <v>520</v>
      </c>
      <c r="E13" s="6" t="s">
        <v>50</v>
      </c>
      <c r="F13" s="9" t="n">
        <f aca="false">IF(D13&lt;=500,Assumptions!$B$5,IF(D13&lt;=1000,Assumptions!$B$6,IF(D13&lt;=2000,Assumptions!$B$7,Assumptions!$B$8)))</f>
        <v>80</v>
      </c>
      <c r="G13" s="9" t="n">
        <f aca="false">F13*Assumptions!$B$9</f>
        <v>14.4</v>
      </c>
      <c r="H13" s="9" t="n">
        <f aca="false">IF(E13="S",Assumptions!$B$14,IF(E13="M",Assumptions!$B$14*1.5,Assumptions!$B$14*3.3))</f>
        <v>18</v>
      </c>
      <c r="I13" s="10" t="n">
        <f aca="false">IF(B13="Decor",Assumptions!$B$10,Assumptions!$B$11)</f>
        <v>0.06</v>
      </c>
      <c r="J13" s="9" t="n">
        <f aca="false">I13*(Assumptions!$B$12*(1+Assumptions!$B$9)+F13*(1+Assumptions!$B$9)+(1-Assumptions!$B$13)*C13)</f>
        <v>17.58</v>
      </c>
      <c r="K13" s="9" t="n">
        <f aca="false">N13*Assumptions!$B$15</f>
        <v>0</v>
      </c>
      <c r="L13" s="9" t="n">
        <f aca="false">C13+F13+G13+H13+J13+K13</f>
        <v>419.98</v>
      </c>
      <c r="M13" s="9" t="n">
        <f aca="false">C13*Assumptions!$B$16</f>
        <v>87</v>
      </c>
      <c r="N13" s="9" t="n">
        <f aca="false">CEILING((C13+F13+G13+H13+J13+M13)/(1-Assumptions!$B$15),10)-1</f>
        <v>509</v>
      </c>
      <c r="O13" s="9" t="n">
        <f aca="false">CEILING(N13*1.12,10)-1</f>
        <v>579</v>
      </c>
      <c r="P13" s="9" t="n">
        <f aca="false">CEILING(N13*1.8,10)-1</f>
        <v>919</v>
      </c>
      <c r="Q13" s="9" t="n">
        <f aca="false">N13-F13-G13-H13-J13-K13</f>
        <v>379.02</v>
      </c>
      <c r="R13" s="10" t="n">
        <f aca="false">IF(C13=0,0,(Q13-C13)/C13)</f>
        <v>0.306965517241379</v>
      </c>
      <c r="S13" s="9" t="n">
        <f aca="false">CEILING((C13+F13+G13+H13+J13)/(1-Assumptions!$B$15),1)</f>
        <v>420</v>
      </c>
    </row>
    <row r="14" customFormat="false" ht="15" hidden="false" customHeight="false" outlineLevel="0" collapsed="false">
      <c r="A14" s="0" t="s">
        <v>61</v>
      </c>
      <c r="B14" s="0" t="s">
        <v>59</v>
      </c>
      <c r="C14" s="6" t="n">
        <v>150</v>
      </c>
      <c r="D14" s="6" t="n">
        <v>240</v>
      </c>
      <c r="E14" s="6" t="s">
        <v>47</v>
      </c>
      <c r="F14" s="9" t="n">
        <f aca="false">IF(D14&lt;=500,Assumptions!$B$5,IF(D14&lt;=1000,Assumptions!$B$6,IF(D14&lt;=2000,Assumptions!$B$7,Assumptions!$B$8)))</f>
        <v>55</v>
      </c>
      <c r="G14" s="9" t="n">
        <f aca="false">F14*Assumptions!$B$9</f>
        <v>9.9</v>
      </c>
      <c r="H14" s="9" t="n">
        <f aca="false">IF(E14="S",Assumptions!$B$14,IF(E14="M",Assumptions!$B$14*1.5,Assumptions!$B$14*3.3))</f>
        <v>12</v>
      </c>
      <c r="I14" s="10" t="n">
        <f aca="false">IF(B14="Decor",Assumptions!$B$10,Assumptions!$B$11)</f>
        <v>0.06</v>
      </c>
      <c r="J14" s="9" t="n">
        <f aca="false">I14*(Assumptions!$B$12*(1+Assumptions!$B$9)+F14*(1+Assumptions!$B$9)+(1-Assumptions!$B$13)*C14)</f>
        <v>12.45</v>
      </c>
      <c r="K14" s="9" t="n">
        <f aca="false">N14*Assumptions!$B$15</f>
        <v>0</v>
      </c>
      <c r="L14" s="9" t="n">
        <f aca="false">C14+F14+G14+H14+J14+K14</f>
        <v>239.35</v>
      </c>
      <c r="M14" s="9" t="n">
        <f aca="false">C14*Assumptions!$B$16</f>
        <v>45</v>
      </c>
      <c r="N14" s="9" t="n">
        <f aca="false">CEILING((C14+F14+G14+H14+J14+M14)/(1-Assumptions!$B$15),10)-1</f>
        <v>289</v>
      </c>
      <c r="O14" s="9" t="n">
        <f aca="false">CEILING(N14*1.12,10)-1</f>
        <v>329</v>
      </c>
      <c r="P14" s="9" t="n">
        <f aca="false">CEILING(N14*1.8,10)-1</f>
        <v>529</v>
      </c>
      <c r="Q14" s="9" t="n">
        <f aca="false">N14-F14-G14-H14-J14-K14</f>
        <v>199.65</v>
      </c>
      <c r="R14" s="10" t="n">
        <f aca="false">IF(C14=0,0,(Q14-C14)/C14)</f>
        <v>0.331</v>
      </c>
      <c r="S14" s="9" t="n">
        <f aca="false">CEILING((C14+F14+G14+H14+J14)/(1-Assumptions!$B$15),1)</f>
        <v>240</v>
      </c>
    </row>
    <row r="15" customFormat="false" ht="15" hidden="false" customHeight="false" outlineLevel="0" collapsed="false">
      <c r="A15" s="0" t="s">
        <v>62</v>
      </c>
      <c r="B15" s="0" t="s">
        <v>59</v>
      </c>
      <c r="C15" s="6" t="n">
        <v>110</v>
      </c>
      <c r="D15" s="6" t="n">
        <v>300</v>
      </c>
      <c r="E15" s="6" t="s">
        <v>47</v>
      </c>
      <c r="F15" s="9" t="n">
        <f aca="false">IF(D15&lt;=500,Assumptions!$B$5,IF(D15&lt;=1000,Assumptions!$B$6,IF(D15&lt;=2000,Assumptions!$B$7,Assumptions!$B$8)))</f>
        <v>55</v>
      </c>
      <c r="G15" s="9" t="n">
        <f aca="false">F15*Assumptions!$B$9</f>
        <v>9.9</v>
      </c>
      <c r="H15" s="9" t="n">
        <f aca="false">IF(E15="S",Assumptions!$B$14,IF(E15="M",Assumptions!$B$14*1.5,Assumptions!$B$14*3.3))</f>
        <v>12</v>
      </c>
      <c r="I15" s="10" t="n">
        <f aca="false">IF(B15="Decor",Assumptions!$B$10,Assumptions!$B$11)</f>
        <v>0.06</v>
      </c>
      <c r="J15" s="9" t="n">
        <f aca="false">I15*(Assumptions!$B$12*(1+Assumptions!$B$9)+F15*(1+Assumptions!$B$9)+(1-Assumptions!$B$13)*C15)</f>
        <v>11.49</v>
      </c>
      <c r="K15" s="9" t="n">
        <f aca="false">N15*Assumptions!$B$15</f>
        <v>0</v>
      </c>
      <c r="L15" s="9" t="n">
        <f aca="false">C15+F15+G15+H15+J15+K15</f>
        <v>198.39</v>
      </c>
      <c r="M15" s="9" t="n">
        <f aca="false">C15*Assumptions!$B$16</f>
        <v>33</v>
      </c>
      <c r="N15" s="9" t="n">
        <f aca="false">CEILING((C15+F15+G15+H15+J15+M15)/(1-Assumptions!$B$15),10)-1</f>
        <v>239</v>
      </c>
      <c r="O15" s="9" t="n">
        <f aca="false">CEILING(N15*1.12,10)-1</f>
        <v>269</v>
      </c>
      <c r="P15" s="9" t="n">
        <f aca="false">CEILING(N15*1.8,10)-1</f>
        <v>439</v>
      </c>
      <c r="Q15" s="9" t="n">
        <f aca="false">N15-F15-G15-H15-J15-K15</f>
        <v>150.61</v>
      </c>
      <c r="R15" s="10" t="n">
        <f aca="false">IF(C15=0,0,(Q15-C15)/C15)</f>
        <v>0.369181818181818</v>
      </c>
      <c r="S15" s="9" t="n">
        <f aca="false">CEILING((C15+F15+G15+H15+J15)/(1-Assumptions!$B$15),1)</f>
        <v>199</v>
      </c>
    </row>
    <row r="16" customFormat="false" ht="15" hidden="false" customHeight="false" outlineLevel="0" collapsed="false">
      <c r="A16" s="0" t="s">
        <v>63</v>
      </c>
      <c r="B16" s="0" t="s">
        <v>59</v>
      </c>
      <c r="C16" s="6" t="n">
        <v>95</v>
      </c>
      <c r="D16" s="6" t="n">
        <v>450</v>
      </c>
      <c r="E16" s="6" t="s">
        <v>50</v>
      </c>
      <c r="F16" s="9" t="n">
        <f aca="false">IF(D16&lt;=500,Assumptions!$B$5,IF(D16&lt;=1000,Assumptions!$B$6,IF(D16&lt;=2000,Assumptions!$B$7,Assumptions!$B$8)))</f>
        <v>55</v>
      </c>
      <c r="G16" s="9" t="n">
        <f aca="false">F16*Assumptions!$B$9</f>
        <v>9.9</v>
      </c>
      <c r="H16" s="9" t="n">
        <f aca="false">IF(E16="S",Assumptions!$B$14,IF(E16="M",Assumptions!$B$14*1.5,Assumptions!$B$14*3.3))</f>
        <v>18</v>
      </c>
      <c r="I16" s="10" t="n">
        <f aca="false">IF(B16="Decor",Assumptions!$B$10,Assumptions!$B$11)</f>
        <v>0.06</v>
      </c>
      <c r="J16" s="9" t="n">
        <f aca="false">I16*(Assumptions!$B$12*(1+Assumptions!$B$9)+F16*(1+Assumptions!$B$9)+(1-Assumptions!$B$13)*C16)</f>
        <v>11.13</v>
      </c>
      <c r="K16" s="9" t="n">
        <f aca="false">N16*Assumptions!$B$15</f>
        <v>0</v>
      </c>
      <c r="L16" s="9" t="n">
        <f aca="false">C16+F16+G16+H16+J16+K16</f>
        <v>189.03</v>
      </c>
      <c r="M16" s="9" t="n">
        <f aca="false">C16*Assumptions!$B$16</f>
        <v>28.5</v>
      </c>
      <c r="N16" s="9" t="n">
        <f aca="false">CEILING((C16+F16+G16+H16+J16+M16)/(1-Assumptions!$B$15),10)-1</f>
        <v>219</v>
      </c>
      <c r="O16" s="9" t="n">
        <f aca="false">CEILING(N16*1.12,10)-1</f>
        <v>249</v>
      </c>
      <c r="P16" s="9" t="n">
        <f aca="false">CEILING(N16*1.8,10)-1</f>
        <v>399</v>
      </c>
      <c r="Q16" s="9" t="n">
        <f aca="false">N16-F16-G16-H16-J16-K16</f>
        <v>124.97</v>
      </c>
      <c r="R16" s="10" t="n">
        <f aca="false">IF(C16=0,0,(Q16-C16)/C16)</f>
        <v>0.315473684210526</v>
      </c>
      <c r="S16" s="9" t="n">
        <f aca="false">CEILING((C16+F16+G16+H16+J16)/(1-Assumptions!$B$15),1)</f>
        <v>190</v>
      </c>
    </row>
    <row r="17" customFormat="false" ht="15" hidden="false" customHeight="false" outlineLevel="0" collapsed="false">
      <c r="A17" s="0" t="s">
        <v>64</v>
      </c>
      <c r="B17" s="0" t="s">
        <v>59</v>
      </c>
      <c r="C17" s="6" t="n">
        <v>170</v>
      </c>
      <c r="D17" s="6" t="n">
        <v>340</v>
      </c>
      <c r="E17" s="6" t="s">
        <v>47</v>
      </c>
      <c r="F17" s="9" t="n">
        <f aca="false">IF(D17&lt;=500,Assumptions!$B$5,IF(D17&lt;=1000,Assumptions!$B$6,IF(D17&lt;=2000,Assumptions!$B$7,Assumptions!$B$8)))</f>
        <v>55</v>
      </c>
      <c r="G17" s="9" t="n">
        <f aca="false">F17*Assumptions!$B$9</f>
        <v>9.9</v>
      </c>
      <c r="H17" s="9" t="n">
        <f aca="false">IF(E17="S",Assumptions!$B$14,IF(E17="M",Assumptions!$B$14*1.5,Assumptions!$B$14*3.3))</f>
        <v>12</v>
      </c>
      <c r="I17" s="10" t="n">
        <f aca="false">IF(B17="Decor",Assumptions!$B$10,Assumptions!$B$11)</f>
        <v>0.06</v>
      </c>
      <c r="J17" s="9" t="n">
        <f aca="false">I17*(Assumptions!$B$12*(1+Assumptions!$B$9)+F17*(1+Assumptions!$B$9)+(1-Assumptions!$B$13)*C17)</f>
        <v>12.93</v>
      </c>
      <c r="K17" s="9" t="n">
        <f aca="false">N17*Assumptions!$B$15</f>
        <v>0</v>
      </c>
      <c r="L17" s="9" t="n">
        <f aca="false">C17+F17+G17+H17+J17+K17</f>
        <v>259.83</v>
      </c>
      <c r="M17" s="9" t="n">
        <f aca="false">C17*Assumptions!$B$16</f>
        <v>51</v>
      </c>
      <c r="N17" s="9" t="n">
        <f aca="false">CEILING((C17+F17+G17+H17+J17+M17)/(1-Assumptions!$B$15),10)-1</f>
        <v>319</v>
      </c>
      <c r="O17" s="9" t="n">
        <f aca="false">CEILING(N17*1.12,10)-1</f>
        <v>359</v>
      </c>
      <c r="P17" s="9" t="n">
        <f aca="false">CEILING(N17*1.8,10)-1</f>
        <v>579</v>
      </c>
      <c r="Q17" s="9" t="n">
        <f aca="false">N17-F17-G17-H17-J17-K17</f>
        <v>229.17</v>
      </c>
      <c r="R17" s="10" t="n">
        <f aca="false">IF(C17=0,0,(Q17-C17)/C17)</f>
        <v>0.348058823529412</v>
      </c>
      <c r="S17" s="9" t="n">
        <f aca="false">CEILING((C17+F17+G17+H17+J17)/(1-Assumptions!$B$15),1)</f>
        <v>260</v>
      </c>
    </row>
    <row r="18" customFormat="false" ht="15" hidden="false" customHeight="false" outlineLevel="0" collapsed="false">
      <c r="A18" s="0" t="s">
        <v>65</v>
      </c>
      <c r="B18" s="0" t="s">
        <v>59</v>
      </c>
      <c r="C18" s="6" t="n">
        <v>240</v>
      </c>
      <c r="D18" s="6" t="n">
        <v>1100</v>
      </c>
      <c r="E18" s="6" t="s">
        <v>50</v>
      </c>
      <c r="F18" s="9" t="n">
        <f aca="false">IF(D18&lt;=500,Assumptions!$B$5,IF(D18&lt;=1000,Assumptions!$B$6,IF(D18&lt;=2000,Assumptions!$B$7,Assumptions!$B$8)))</f>
        <v>120</v>
      </c>
      <c r="G18" s="9" t="n">
        <f aca="false">F18*Assumptions!$B$9</f>
        <v>21.6</v>
      </c>
      <c r="H18" s="9" t="n">
        <f aca="false">IF(E18="S",Assumptions!$B$14,IF(E18="M",Assumptions!$B$14*1.5,Assumptions!$B$14*3.3))</f>
        <v>18</v>
      </c>
      <c r="I18" s="10" t="n">
        <f aca="false">IF(B18="Decor",Assumptions!$B$10,Assumptions!$B$11)</f>
        <v>0.06</v>
      </c>
      <c r="J18" s="9" t="n">
        <f aca="false">I18*(Assumptions!$B$12*(1+Assumptions!$B$9)+F18*(1+Assumptions!$B$9)+(1-Assumptions!$B$13)*C18)</f>
        <v>19.212</v>
      </c>
      <c r="K18" s="9" t="n">
        <f aca="false">N18*Assumptions!$B$15</f>
        <v>0</v>
      </c>
      <c r="L18" s="9" t="n">
        <f aca="false">C18+F18+G18+H18+J18+K18</f>
        <v>418.812</v>
      </c>
      <c r="M18" s="9" t="n">
        <f aca="false">C18*Assumptions!$B$16</f>
        <v>72</v>
      </c>
      <c r="N18" s="9" t="n">
        <f aca="false">CEILING((C18+F18+G18+H18+J18+M18)/(1-Assumptions!$B$15),10)-1</f>
        <v>499</v>
      </c>
      <c r="O18" s="9" t="n">
        <f aca="false">CEILING(N18*1.12,10)-1</f>
        <v>559</v>
      </c>
      <c r="P18" s="9" t="n">
        <f aca="false">CEILING(N18*1.8,10)-1</f>
        <v>899</v>
      </c>
      <c r="Q18" s="9" t="n">
        <f aca="false">N18-F18-G18-H18-J18-K18</f>
        <v>320.188</v>
      </c>
      <c r="R18" s="10" t="n">
        <f aca="false">IF(C18=0,0,(Q18-C18)/C18)</f>
        <v>0.334116666666667</v>
      </c>
      <c r="S18" s="9" t="n">
        <f aca="false">CEILING((C18+F18+G18+H18+J18)/(1-Assumptions!$B$15),1)</f>
        <v>419</v>
      </c>
    </row>
    <row r="19" customFormat="false" ht="15" hidden="false" customHeight="false" outlineLevel="0" collapsed="false">
      <c r="A19" s="0" t="s">
        <v>66</v>
      </c>
      <c r="B19" s="0" t="s">
        <v>46</v>
      </c>
      <c r="C19" s="6" t="n">
        <v>650</v>
      </c>
      <c r="D19" s="6" t="n">
        <v>2200</v>
      </c>
      <c r="E19" s="6" t="s">
        <v>67</v>
      </c>
      <c r="F19" s="9" t="n">
        <f aca="false">IF(D19&lt;=500,Assumptions!$B$5,IF(D19&lt;=1000,Assumptions!$B$6,IF(D19&lt;=2000,Assumptions!$B$7,Assumptions!$B$8)))</f>
        <v>220</v>
      </c>
      <c r="G19" s="9" t="n">
        <f aca="false">F19*Assumptions!$B$9</f>
        <v>39.6</v>
      </c>
      <c r="H19" s="9" t="n">
        <f aca="false">IF(E19="S",Assumptions!$B$14,IF(E19="M",Assumptions!$B$14*1.5,Assumptions!$B$14*3.3))</f>
        <v>39.6</v>
      </c>
      <c r="I19" s="10" t="n">
        <f aca="false">IF(B19="Decor",Assumptions!$B$10,Assumptions!$B$11)</f>
        <v>0.1</v>
      </c>
      <c r="J19" s="9" t="n">
        <f aca="false">I19*(Assumptions!$B$12*(1+Assumptions!$B$9)+F19*(1+Assumptions!$B$9)+(1-Assumptions!$B$13)*C19)</f>
        <v>60.22</v>
      </c>
      <c r="K19" s="9" t="n">
        <f aca="false">N19*Assumptions!$B$15</f>
        <v>0</v>
      </c>
      <c r="L19" s="9" t="n">
        <f aca="false">C19+F19+G19+H19+J19+K19</f>
        <v>1009.42</v>
      </c>
      <c r="M19" s="9" t="n">
        <f aca="false">C19*Assumptions!$B$16</f>
        <v>195</v>
      </c>
      <c r="N19" s="9" t="n">
        <f aca="false">CEILING((C19+F19+G19+H19+J19+M19)/(1-Assumptions!$B$15),10)-1</f>
        <v>1209</v>
      </c>
      <c r="O19" s="9" t="n">
        <f aca="false">CEILING(N19*1.12,10)-1</f>
        <v>1359</v>
      </c>
      <c r="P19" s="9" t="n">
        <f aca="false">CEILING(N19*1.8,10)-1</f>
        <v>2179</v>
      </c>
      <c r="Q19" s="9" t="n">
        <f aca="false">N19-F19-G19-H19-J19-K19</f>
        <v>849.58</v>
      </c>
      <c r="R19" s="10" t="n">
        <f aca="false">IF(C19=0,0,(Q19-C19)/C19)</f>
        <v>0.307046153846154</v>
      </c>
      <c r="S19" s="9" t="n">
        <f aca="false">CEILING((C19+F19+G19+H19+J19)/(1-Assumptions!$B$15),1)</f>
        <v>1010</v>
      </c>
    </row>
    <row r="20" customFormat="false" ht="15" hidden="false" customHeight="false" outlineLevel="0" collapsed="false">
      <c r="A20" s="0" t="s">
        <v>68</v>
      </c>
      <c r="B20" s="0" t="s">
        <v>59</v>
      </c>
      <c r="C20" s="6" t="n">
        <v>110</v>
      </c>
      <c r="D20" s="6" t="n">
        <v>260</v>
      </c>
      <c r="E20" s="6" t="s">
        <v>47</v>
      </c>
      <c r="F20" s="9" t="n">
        <f aca="false">IF(D20&lt;=500,Assumptions!$B$5,IF(D20&lt;=1000,Assumptions!$B$6,IF(D20&lt;=2000,Assumptions!$B$7,Assumptions!$B$8)))</f>
        <v>55</v>
      </c>
      <c r="G20" s="9" t="n">
        <f aca="false">F20*Assumptions!$B$9</f>
        <v>9.9</v>
      </c>
      <c r="H20" s="9" t="n">
        <f aca="false">IF(E20="S",Assumptions!$B$14,IF(E20="M",Assumptions!$B$14*1.5,Assumptions!$B$14*3.3))</f>
        <v>12</v>
      </c>
      <c r="I20" s="10" t="n">
        <f aca="false">IF(B20="Decor",Assumptions!$B$10,Assumptions!$B$11)</f>
        <v>0.06</v>
      </c>
      <c r="J20" s="9" t="n">
        <f aca="false">I20*(Assumptions!$B$12*(1+Assumptions!$B$9)+F20*(1+Assumptions!$B$9)+(1-Assumptions!$B$13)*C20)</f>
        <v>11.49</v>
      </c>
      <c r="K20" s="9" t="n">
        <f aca="false">N20*Assumptions!$B$15</f>
        <v>0</v>
      </c>
      <c r="L20" s="9" t="n">
        <f aca="false">C20+F20+G20+H20+J20+K20</f>
        <v>198.39</v>
      </c>
      <c r="M20" s="9" t="n">
        <f aca="false">C20*Assumptions!$B$16</f>
        <v>33</v>
      </c>
      <c r="N20" s="9" t="n">
        <f aca="false">CEILING((C20+F20+G20+H20+J20+M20)/(1-Assumptions!$B$15),10)-1</f>
        <v>239</v>
      </c>
      <c r="O20" s="9" t="n">
        <f aca="false">CEILING(N20*1.12,10)-1</f>
        <v>269</v>
      </c>
      <c r="P20" s="9" t="n">
        <f aca="false">CEILING(N20*1.8,10)-1</f>
        <v>439</v>
      </c>
      <c r="Q20" s="9" t="n">
        <f aca="false">N20-F20-G20-H20-J20-K20</f>
        <v>150.61</v>
      </c>
      <c r="R20" s="10" t="n">
        <f aca="false">IF(C20=0,0,(Q20-C20)/C20)</f>
        <v>0.369181818181818</v>
      </c>
      <c r="S20" s="9" t="n">
        <f aca="false">CEILING((C20+F20+G20+H20+J20)/(1-Assumptions!$B$15),1)</f>
        <v>199</v>
      </c>
    </row>
    <row r="22" customFormat="false" ht="15" hidden="false" customHeight="false" outlineLevel="0" collapsed="false">
      <c r="A22" s="3" t="s">
        <v>69</v>
      </c>
    </row>
    <row r="23" customFormat="false" ht="30" hidden="false" customHeight="true" outlineLevel="0" collapsed="false">
      <c r="A23" s="2" t="s">
        <v>70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customFormat="false" ht="30" hidden="false" customHeight="true" outlineLevel="0" collapsed="false">
      <c r="A24" s="2" t="s">
        <v>71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customFormat="false" ht="30" hidden="false" customHeight="true" outlineLevel="0" collapsed="false">
      <c r="A25" s="2" t="s">
        <v>72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customFormat="false" ht="30" hidden="false" customHeight="true" outlineLevel="0" collapsed="false">
      <c r="A26" s="2" t="s">
        <v>73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customFormat="false" ht="30" hidden="false" customHeight="true" outlineLevel="0" collapsed="false">
      <c r="A27" s="2" t="s">
        <v>74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customFormat="false" ht="30" hidden="false" customHeight="true" outlineLevel="0" collapsed="false">
      <c r="A28" s="2" t="s">
        <v>75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</sheetData>
  <mergeCells count="6">
    <mergeCell ref="A23:S23"/>
    <mergeCell ref="A24:S24"/>
    <mergeCell ref="A25:S25"/>
    <mergeCell ref="A26:S26"/>
    <mergeCell ref="A27:S27"/>
    <mergeCell ref="A28:S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2026-09-15T13:26:08Z</dcterms:created>
  <dc:creator>openpyxl</dc:creator>
  <dc:description/>
  <dc:language>en-US</dc:language>
  <cp:lastModifiedBy/>
  <dcterms:modified xsi:type="dcterms:W3CDTF">2026-09-15T13:26:08Z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